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umsi" sheetId="1" state="visible" r:id="rId1"/>
    <sheet xmlns:r="http://schemas.openxmlformats.org/officeDocument/2006/relationships" name="RAB Usulan (14 LPTK)" sheetId="2" state="visible" r:id="rId2"/>
    <sheet xmlns:r="http://schemas.openxmlformats.org/officeDocument/2006/relationships" name="Skenario 12 LPT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p&quot;#,##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092647"/>
    </font>
    <font>
      <b val="1"/>
    </font>
  </fonts>
  <fills count="4">
    <fill>
      <patternFill/>
    </fill>
    <fill>
      <patternFill patternType="gray125"/>
    </fill>
    <fill>
      <patternFill patternType="solid">
        <fgColor rgb="00FFF4C2"/>
      </patternFill>
    </fill>
    <fill>
      <patternFill patternType="solid">
        <fgColor rgb="00FFC00C"/>
      </patternFill>
    </fill>
  </fills>
  <borders count="2">
    <border>
      <left/>
      <right/>
      <top/>
      <bottom/>
      <diagonal/>
    </border>
    <border>
      <left style="thin">
        <color rgb="00B0C0CF"/>
      </left>
      <right style="thin">
        <color rgb="00B0C0CF"/>
      </right>
      <top style="thin">
        <color rgb="00B0C0CF"/>
      </top>
      <bottom style="thin">
        <color rgb="00B0C0C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3" fontId="0" fillId="2" borderId="0" pivotButton="0" quotePrefix="0" xfId="0"/>
    <xf numFmtId="2" fontId="0" fillId="2" borderId="0" pivotButton="0" quotePrefix="0" xfId="0"/>
    <xf numFmtId="0" fontId="2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0" fillId="3" borderId="1" pivotButton="0" quotePrefix="0" xfId="0"/>
    <xf numFmtId="0" fontId="3" fillId="3" borderId="1" pivotButton="0" quotePrefix="0" xfId="0"/>
    <xf numFmtId="164" fontId="0" fillId="3" borderId="1" pivotButton="0" quotePrefix="0" xfId="0"/>
    <xf numFmtId="164" fontId="3" fillId="3" borderId="1" pivotButton="0" quotePrefix="0" xfId="0"/>
    <xf numFmtId="10" fontId="0" fillId="0" borderId="1" pivotButton="0" quotePrefix="0" xfId="0"/>
    <xf numFmtId="0" fontId="3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60" customWidth="1" min="3" max="3"/>
  </cols>
  <sheetData>
    <row r="1">
      <c r="A1" s="1" t="inlineStr">
        <is>
          <t>ASUMSI (sel kuning dapat diubah; harga satuan adalah ASUMSI yang perlu diverifikasi)</t>
        </is>
      </c>
    </row>
    <row r="3">
      <c r="A3" t="inlineStr">
        <is>
          <t>Pagu maksimum</t>
        </is>
      </c>
      <c r="B3" s="2" t="n">
        <v>510000000</v>
      </c>
      <c r="C3" t="inlineStr">
        <is>
          <t>RFP bagian E</t>
        </is>
      </c>
    </row>
    <row r="4">
      <c r="A4" t="inlineStr">
        <is>
          <t>Personel per kunjungan</t>
        </is>
      </c>
      <c r="B4" s="2" t="n">
        <v>3</v>
      </c>
      <c r="C4" t="inlineStr">
        <is>
          <t>2 TPN + 1 mitra (RFP)</t>
        </is>
      </c>
    </row>
    <row r="5">
      <c r="A5" t="inlineStr">
        <is>
          <t>Tarif akomodasi per orang per malam</t>
        </is>
      </c>
      <c r="B5" s="2" t="n">
        <v>850000</v>
      </c>
      <c r="C5" t="inlineStr">
        <is>
          <t>RFP</t>
        </is>
      </c>
    </row>
    <row r="6">
      <c r="A6" t="inlineStr">
        <is>
          <t>Malam per kunjungan standar</t>
        </is>
      </c>
      <c r="B6" s="2" t="n">
        <v>3</v>
      </c>
      <c r="C6" t="inlineStr">
        <is>
          <t>RFP</t>
        </is>
      </c>
    </row>
    <row r="7">
      <c r="A7" t="inlineStr">
        <is>
          <t>Malam tambahan per LPTK berikutnya dalam klaster</t>
        </is>
      </c>
      <c r="B7" s="2" t="n">
        <v>2</v>
      </c>
      <c r="C7" t="inlineStr">
        <is>
          <t>Rancangan klaster</t>
        </is>
      </c>
    </row>
    <row r="8">
      <c r="A8" t="inlineStr">
        <is>
          <t>Tiket PP rata-rata per orang</t>
        </is>
      </c>
      <c r="B8" s="2" t="n">
        <v>3000000</v>
      </c>
      <c r="C8" t="inlineStr">
        <is>
          <t>ASUMSI: verifikasi rute dan harga aktual</t>
        </is>
      </c>
    </row>
    <row r="9">
      <c r="A9" t="inlineStr">
        <is>
          <t>Transportasi lokal per hari</t>
        </is>
      </c>
      <c r="B9" s="2" t="n">
        <v>900000</v>
      </c>
      <c r="C9" t="inlineStr">
        <is>
          <t>ASUMSI: mobil, driver, BBM</t>
        </is>
      </c>
    </row>
    <row r="10">
      <c r="A10" t="inlineStr">
        <is>
          <t>Hari transportasi lokal per kunjungan</t>
        </is>
      </c>
      <c r="B10" s="2" t="n">
        <v>3</v>
      </c>
      <c r="C10" t="inlineStr">
        <is>
          <t>ASUMSI</t>
        </is>
      </c>
    </row>
    <row r="11">
      <c r="A11" t="inlineStr">
        <is>
          <t>Uang harian dan logistik per orang per hari</t>
        </is>
      </c>
      <c r="B11" s="2" t="n">
        <v>350000</v>
      </c>
      <c r="C11" t="inlineStr">
        <is>
          <t>ASUMSI</t>
        </is>
      </c>
    </row>
    <row r="12">
      <c r="A12" t="inlineStr">
        <is>
          <t>Honorarium TPN per orang per kunjungan</t>
        </is>
      </c>
      <c r="B12" s="2" t="n">
        <v>7500000</v>
      </c>
      <c r="C12" t="inlineStr">
        <is>
          <t>ASUMSI: acuan SBM Kementerian, tanyakan ke TF</t>
        </is>
      </c>
    </row>
    <row r="13">
      <c r="A13" t="inlineStr">
        <is>
          <t>Jumlah TPN per kunjungan</t>
        </is>
      </c>
      <c r="B13" s="2" t="n">
        <v>2</v>
      </c>
      <c r="C13" t="inlineStr">
        <is>
          <t>RFP</t>
        </is>
      </c>
    </row>
    <row r="14">
      <c r="A14" t="inlineStr">
        <is>
          <t>Platform, repositori, alat data (paket)</t>
        </is>
      </c>
      <c r="B14" s="2" t="n">
        <v>9900000</v>
      </c>
      <c r="C14" t="inlineStr">
        <is>
          <t>ASUMSI</t>
        </is>
      </c>
    </row>
    <row r="15">
      <c r="A15" t="inlineStr">
        <is>
          <t>Kontingensi perjalanan</t>
        </is>
      </c>
      <c r="B15" s="2" t="n">
        <v>9330000</v>
      </c>
      <c r="C15" t="inlineStr">
        <is>
          <t>Penyeimbang agar total sama dengan pagu</t>
        </is>
      </c>
    </row>
    <row r="16">
      <c r="A16" t="inlineStr">
        <is>
          <t>Management fee (bersih)</t>
        </is>
      </c>
      <c r="B16" s="2" t="n">
        <v>42000000</v>
      </c>
      <c r="C16" t="inlineStr">
        <is>
          <t>Bruto 8-10% dari total (band RFP)</t>
        </is>
      </c>
    </row>
    <row r="17">
      <c r="A17" t="inlineStr">
        <is>
          <t>Tarif PPN atas fee</t>
        </is>
      </c>
      <c r="B17" s="3" t="n">
        <v>0.11</v>
      </c>
      <c r="C17" t="inlineStr">
        <is>
          <t>ASUMSI: konfirmasi jenis pajak ke TF</t>
        </is>
      </c>
    </row>
    <row r="18">
      <c r="A18" t="inlineStr">
        <is>
          <t>Jumlah LPTK inti</t>
        </is>
      </c>
      <c r="B18" s="2" t="n">
        <v>12</v>
      </c>
      <c r="C18" t="inlineStr">
        <is>
          <t>RFP</t>
        </is>
      </c>
    </row>
    <row r="19">
      <c r="A19" t="inlineStr">
        <is>
          <t>Jumlah LPTK tambahan</t>
        </is>
      </c>
      <c r="B19" s="2" t="n">
        <v>2</v>
      </c>
      <c r="C19" t="inlineStr">
        <is>
          <t>Opsional (RFP membolehkan)</t>
        </is>
      </c>
    </row>
    <row r="20">
      <c r="A20" t="inlineStr">
        <is>
          <t>Jumlah klaster rute (perjalanan PP)</t>
        </is>
      </c>
      <c r="B20" s="2" t="n">
        <v>5</v>
      </c>
      <c r="C20" t="inlineStr">
        <is>
          <t>Medan, Pekanbaru, Jambi, Semarang-Salatiga-Kudus, Samarinda</t>
        </is>
      </c>
    </row>
    <row r="21">
      <c r="A21" t="inlineStr">
        <is>
          <t>Total malam LPTK inti (klaster)</t>
        </is>
      </c>
      <c r="B21" s="2" t="n">
        <v>29</v>
      </c>
      <c r="C21" t="inlineStr">
        <is>
          <t>9+5+3+9+3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6" customWidth="1" min="3" max="3"/>
    <col width="12" customWidth="1" min="4" max="4"/>
    <col width="16" customWidth="1" min="5" max="5"/>
    <col width="20" customWidth="1" min="6" max="6"/>
  </cols>
  <sheetData>
    <row r="1">
      <c r="A1" s="1" t="inlineStr">
        <is>
          <t>RENCANA ANGGARAN BIAYA (usulan utama: 12 LPTK inti + LPTK tambahan)</t>
        </is>
      </c>
    </row>
    <row r="3">
      <c r="A3" s="4" t="inlineStr">
        <is>
          <t>No</t>
        </is>
      </c>
      <c r="B3" s="4" t="inlineStr">
        <is>
          <t>Komponen</t>
        </is>
      </c>
      <c r="C3" s="4" t="inlineStr">
        <is>
          <t>Satuan biaya</t>
        </is>
      </c>
      <c r="D3" s="4" t="inlineStr">
        <is>
          <t>Volume</t>
        </is>
      </c>
      <c r="E3" s="4" t="inlineStr">
        <is>
          <t>Durasi/Pengali</t>
        </is>
      </c>
      <c r="F3" s="4" t="inlineStr">
        <is>
          <t>Subtotal</t>
        </is>
      </c>
    </row>
    <row r="4">
      <c r="A4" s="5" t="n">
        <v>1</v>
      </c>
      <c r="B4" s="5" t="inlineStr">
        <is>
          <t>Honorarium TPN</t>
        </is>
      </c>
      <c r="C4" s="6">
        <f>Asumsi!$B$12</f>
        <v/>
      </c>
      <c r="D4" s="5">
        <f>Asumsi!$B$13</f>
        <v/>
      </c>
      <c r="E4" s="5">
        <f>Asumsi!$B$18+Asumsi!$B$19</f>
        <v/>
      </c>
      <c r="F4" s="6">
        <f>C4*D4*E4</f>
        <v/>
      </c>
    </row>
    <row r="5">
      <c r="A5" s="5" t="n">
        <v>2</v>
      </c>
      <c r="B5" s="5" t="inlineStr">
        <is>
          <t>Akomodasi (malam-orang)</t>
        </is>
      </c>
      <c r="C5" s="6">
        <f>Asumsi!$B$5</f>
        <v/>
      </c>
      <c r="D5" s="5">
        <f>Asumsi!$B$4</f>
        <v/>
      </c>
      <c r="E5" s="5">
        <f>Asumsi!$B$21+Asumsi!$B$19*Asumsi!$B$6</f>
        <v/>
      </c>
      <c r="F5" s="6">
        <f>C5*D5*E5</f>
        <v/>
      </c>
    </row>
    <row r="6">
      <c r="A6" s="5" t="n">
        <v>3</v>
      </c>
      <c r="B6" s="5" t="inlineStr">
        <is>
          <t>Tiket pulang-pergi</t>
        </is>
      </c>
      <c r="C6" s="6">
        <f>Asumsi!$B$8</f>
        <v/>
      </c>
      <c r="D6" s="5">
        <f>Asumsi!$B$4</f>
        <v/>
      </c>
      <c r="E6" s="5">
        <f>Asumsi!$B$20+Asumsi!$B$19</f>
        <v/>
      </c>
      <c r="F6" s="6">
        <f>C6*D6*E6</f>
        <v/>
      </c>
    </row>
    <row r="7">
      <c r="A7" s="5" t="n">
        <v>4</v>
      </c>
      <c r="B7" s="5" t="inlineStr">
        <is>
          <t>Transportasi lokal (hari kunjungan)</t>
        </is>
      </c>
      <c r="C7" s="6">
        <f>Asumsi!$B$9</f>
        <v/>
      </c>
      <c r="D7" s="5">
        <f>Asumsi!$B$18+Asumsi!$B$19</f>
        <v/>
      </c>
      <c r="E7" s="5">
        <f>Asumsi!$B$10</f>
        <v/>
      </c>
      <c r="F7" s="6">
        <f>C7*D7*E7</f>
        <v/>
      </c>
    </row>
    <row r="8">
      <c r="A8" s="5" t="n">
        <v>5</v>
      </c>
      <c r="B8" s="5" t="inlineStr">
        <is>
          <t>Uang harian dan logistik</t>
        </is>
      </c>
      <c r="C8" s="6">
        <f>Asumsi!$B$11</f>
        <v/>
      </c>
      <c r="D8" s="5">
        <f>(Asumsi!$B$18+Asumsi!$B$19)*Asumsi!$B$4</f>
        <v/>
      </c>
      <c r="E8" s="5">
        <f>Asumsi!$B$10</f>
        <v/>
      </c>
      <c r="F8" s="6">
        <f>C8*D8*E8</f>
        <v/>
      </c>
    </row>
    <row r="9">
      <c r="A9" s="5" t="n">
        <v>6</v>
      </c>
      <c r="B9" s="5" t="inlineStr">
        <is>
          <t>Platform, repositori, alat data</t>
        </is>
      </c>
      <c r="C9" s="6">
        <f>Asumsi!$B$14</f>
        <v/>
      </c>
      <c r="D9" s="5" t="n">
        <v>1</v>
      </c>
      <c r="E9" s="5" t="n">
        <v>1</v>
      </c>
      <c r="F9" s="6">
        <f>C9*D9*E9</f>
        <v/>
      </c>
    </row>
    <row r="10">
      <c r="A10" s="5" t="n">
        <v>7</v>
      </c>
      <c r="B10" s="5" t="inlineStr">
        <is>
          <t>Kontingensi perjalanan</t>
        </is>
      </c>
      <c r="C10" s="6">
        <f>Asumsi!$B$15</f>
        <v/>
      </c>
      <c r="D10" s="5" t="n">
        <v>1</v>
      </c>
      <c r="E10" s="5" t="n">
        <v>1</v>
      </c>
      <c r="F10" s="6">
        <f>C10*D10*E10</f>
        <v/>
      </c>
    </row>
    <row r="11">
      <c r="A11" s="5" t="n"/>
      <c r="B11" s="7" t="inlineStr">
        <is>
          <t>Subtotal perjalanan dan logistik</t>
        </is>
      </c>
      <c r="C11" s="6" t="n"/>
      <c r="D11" s="5" t="n"/>
      <c r="E11" s="5" t="n"/>
      <c r="F11" s="8">
        <f>SUM(F4:F10)</f>
        <v/>
      </c>
    </row>
    <row r="12">
      <c r="A12" s="5" t="n"/>
      <c r="B12" s="5" t="inlineStr">
        <is>
          <t>Management fee (termasuk honorarium mitra)</t>
        </is>
      </c>
      <c r="C12" s="6" t="n"/>
      <c r="D12" s="5" t="n"/>
      <c r="E12" s="5" t="n"/>
      <c r="F12" s="6">
        <f>Asumsi!$B$16</f>
        <v/>
      </c>
    </row>
    <row r="13">
      <c r="A13" s="5" t="n"/>
      <c r="B13" s="5" t="inlineStr">
        <is>
          <t>PPN atas management fee</t>
        </is>
      </c>
      <c r="C13" s="6" t="n"/>
      <c r="D13" s="5" t="n"/>
      <c r="E13" s="5" t="n"/>
      <c r="F13" s="6">
        <f>ROUND(F12*Asumsi!$B$17,0)</f>
        <v/>
      </c>
    </row>
    <row r="14">
      <c r="A14" s="9" t="n"/>
      <c r="B14" s="10" t="inlineStr">
        <is>
          <t>TOTAL</t>
        </is>
      </c>
      <c r="C14" s="11" t="n"/>
      <c r="D14" s="9" t="n"/>
      <c r="E14" s="9" t="n"/>
      <c r="F14" s="12">
        <f>F11+F12+F13</f>
        <v/>
      </c>
    </row>
    <row r="15">
      <c r="A15" s="5" t="n"/>
      <c r="B15" s="5" t="inlineStr">
        <is>
          <t>Selisih terhadap pagu (harus nol atau positif)</t>
        </is>
      </c>
      <c r="C15" s="6" t="n"/>
      <c r="D15" s="5" t="n"/>
      <c r="E15" s="5" t="n"/>
      <c r="F15" s="6">
        <f>Asumsi!$B$3-F14</f>
        <v/>
      </c>
    </row>
    <row r="16">
      <c r="A16" s="5" t="n"/>
      <c r="B16" s="5" t="inlineStr">
        <is>
          <t>Porsi perjalanan dan logistik (band RFP 90-92%)</t>
        </is>
      </c>
      <c r="C16" s="6" t="n"/>
      <c r="D16" s="5" t="n"/>
      <c r="E16" s="5" t="n"/>
      <c r="F16" s="13">
        <f>F11/F14</f>
        <v/>
      </c>
    </row>
    <row r="17">
      <c r="A17" s="5" t="n"/>
      <c r="B17" s="5" t="inlineStr">
        <is>
          <t>Porsi fee + pajak (band RFP 8-10%)</t>
        </is>
      </c>
      <c r="C17" s="6" t="n"/>
      <c r="D17" s="5" t="n"/>
      <c r="E17" s="5" t="n"/>
      <c r="F17" s="13">
        <f>(F12+F13)/F14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4" t="inlineStr">
        <is>
          <t>Alternatif: hanya 12 LPTK inti (nilai tetap dari model; hitung ulang lewat sheet Asumsi bila perlu)</t>
        </is>
      </c>
    </row>
    <row r="3">
      <c r="A3" t="inlineStr">
        <is>
          <t>Honorarium TPN</t>
        </is>
      </c>
      <c r="B3" s="15" t="n">
        <v>180000000</v>
      </c>
    </row>
    <row r="4">
      <c r="A4" t="inlineStr">
        <is>
          <t>Akomodasi</t>
        </is>
      </c>
      <c r="B4" s="15" t="n">
        <v>73950000</v>
      </c>
    </row>
    <row r="5">
      <c r="A5" t="inlineStr">
        <is>
          <t>Tiket</t>
        </is>
      </c>
      <c r="B5" s="15" t="n">
        <v>45000000</v>
      </c>
    </row>
    <row r="6">
      <c r="A6" t="inlineStr">
        <is>
          <t>Transportasi lokal</t>
        </is>
      </c>
      <c r="B6" s="15" t="n">
        <v>32400000</v>
      </c>
    </row>
    <row r="7">
      <c r="A7" t="inlineStr">
        <is>
          <t>Uang harian dan logistik</t>
        </is>
      </c>
      <c r="B7" s="15" t="n">
        <v>37800000</v>
      </c>
    </row>
    <row r="8">
      <c r="A8" t="inlineStr">
        <is>
          <t>Platform dan alat data</t>
        </is>
      </c>
      <c r="B8" s="15" t="n">
        <v>9900000</v>
      </c>
    </row>
    <row r="9">
      <c r="A9" t="inlineStr">
        <is>
          <t>Kontingensi</t>
        </is>
      </c>
      <c r="B9" s="15" t="n">
        <v>9330000</v>
      </c>
    </row>
    <row r="10">
      <c r="A10" t="inlineStr">
        <is>
          <t>Management fee</t>
        </is>
      </c>
      <c r="B10" s="15" t="n">
        <v>34000000</v>
      </c>
    </row>
    <row r="11">
      <c r="A11" t="inlineStr">
        <is>
          <t>PPN 11% atas fee</t>
        </is>
      </c>
      <c r="B11" s="15" t="n">
        <v>3740000</v>
      </c>
    </row>
    <row r="12">
      <c r="A12" t="inlineStr">
        <is>
          <t>TOTAL</t>
        </is>
      </c>
      <c r="B12" s="15" t="n">
        <v>426120000</v>
      </c>
    </row>
    <row r="14">
      <c r="A14" t="inlineStr">
        <is>
          <t>Termin pembayaran (usulan): 30% Laporan Awal disetujui; 40% laporan pendampingan 12 LPTK; 30% Paket Laporan Akhir final.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2026-09-26T14:42:20Z</dcterms:created>
  <dcterms:modified xmlns:dcterms="http://purl.org/dc/terms/" xmlns:xsi="http://www.w3.org/2001/XMLSchema-instance" xsi:type="dcterms:W3CDTF">2026-09-26T14:42:20Z</dcterms:modified>
</cp:coreProperties>
</file>